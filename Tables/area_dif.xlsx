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a113c9b0c2aade/Pesquisa/BIODIVA/Modelagem_Melocactus/Result/"/>
    </mc:Choice>
  </mc:AlternateContent>
  <xr:revisionPtr revIDLastSave="17" documentId="8_{7E213C7C-E4D1-4CFC-8245-F6A3C34AEE8D}" xr6:coauthVersionLast="47" xr6:coauthVersionMax="47" xr10:uidLastSave="{9166CAAC-610E-4976-8621-ACC598AC880F}"/>
  <bookViews>
    <workbookView xWindow="-20520" yWindow="1140" windowWidth="20640" windowHeight="11040" activeTab="1" xr2:uid="{855C24D2-0972-48DD-BD7A-E05DF8D43CA5}"/>
  </bookViews>
  <sheets>
    <sheet name="area_ecoregiao" sheetId="2" r:id="rId1"/>
    <sheet name="Area_cenario" sheetId="4" r:id="rId2"/>
  </sheets>
  <calcPr calcId="0"/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2" i="4"/>
  <c r="D33" i="2"/>
  <c r="E33" i="2" s="1"/>
  <c r="D34" i="2"/>
  <c r="E34" i="2" s="1"/>
  <c r="D35" i="2"/>
  <c r="D36" i="2"/>
  <c r="D37" i="2"/>
  <c r="D38" i="2"/>
  <c r="D39" i="2"/>
  <c r="D40" i="2"/>
  <c r="D41" i="2"/>
  <c r="D42" i="2"/>
  <c r="E42" i="2" s="1"/>
  <c r="D43" i="2"/>
  <c r="E43" i="2" s="1"/>
  <c r="D44" i="2"/>
  <c r="E44" i="2" s="1"/>
  <c r="D45" i="2"/>
  <c r="E45" i="2" s="1"/>
  <c r="D46" i="2"/>
  <c r="E46" i="2" s="1"/>
  <c r="D32" i="2"/>
  <c r="E32" i="2" s="1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5" i="2"/>
  <c r="E36" i="2"/>
  <c r="E37" i="2"/>
  <c r="E38" i="2"/>
  <c r="E39" i="2"/>
  <c r="E40" i="2"/>
  <c r="E41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17" i="2"/>
  <c r="E17" i="2"/>
  <c r="E4" i="2"/>
  <c r="E3" i="2"/>
  <c r="E5" i="2"/>
  <c r="E6" i="2"/>
  <c r="E7" i="2"/>
  <c r="E8" i="2"/>
  <c r="E9" i="2"/>
  <c r="E10" i="2"/>
  <c r="E11" i="2"/>
  <c r="E12" i="2"/>
  <c r="E13" i="2"/>
  <c r="E14" i="2"/>
  <c r="E15" i="2"/>
  <c r="E16" i="2"/>
  <c r="D5" i="2"/>
  <c r="D4" i="2"/>
  <c r="D3" i="2"/>
  <c r="D6" i="2"/>
  <c r="D7" i="2"/>
  <c r="D8" i="2"/>
  <c r="D9" i="2"/>
  <c r="D10" i="2"/>
  <c r="D11" i="2"/>
  <c r="D12" i="2"/>
  <c r="D13" i="2"/>
  <c r="D14" i="2"/>
  <c r="D15" i="2"/>
  <c r="D16" i="2"/>
  <c r="D2" i="2"/>
  <c r="E2" i="2"/>
</calcChain>
</file>

<file path=xl/sharedStrings.xml><?xml version="1.0" encoding="utf-8"?>
<sst xmlns="http://schemas.openxmlformats.org/spreadsheetml/2006/main" count="114" uniqueCount="24">
  <si>
    <t>eco</t>
  </si>
  <si>
    <t>Complexo da Chapada Diamantina</t>
  </si>
  <si>
    <t>current</t>
  </si>
  <si>
    <t>fire_ 1995</t>
  </si>
  <si>
    <t>fire_ 2005</t>
  </si>
  <si>
    <t>fire_ 2015</t>
  </si>
  <si>
    <t>fire_ 2022</t>
  </si>
  <si>
    <t>SSP245</t>
  </si>
  <si>
    <t>SSP585</t>
  </si>
  <si>
    <t>lulc_ 1995</t>
  </si>
  <si>
    <t>lulc_ 2005</t>
  </si>
  <si>
    <t>lulc_ 2015</t>
  </si>
  <si>
    <t>lulc_ 2022</t>
  </si>
  <si>
    <t>combined 1995</t>
  </si>
  <si>
    <t>combined 2005</t>
  </si>
  <si>
    <t>combined 2015</t>
  </si>
  <si>
    <t>combined 2022</t>
  </si>
  <si>
    <t>Dunas do SÃ£o Francisco</t>
  </si>
  <si>
    <t>DepressÃ£o Sertaneja Meridional</t>
  </si>
  <si>
    <t>cenario</t>
  </si>
  <si>
    <t>area_km2</t>
  </si>
  <si>
    <t>area_pct</t>
  </si>
  <si>
    <t>diferenca_pct</t>
  </si>
  <si>
    <t>diferença_pct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</si>
</sst>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CF07-C9A9-4495-BEEF-18D438427291}">
  <dimension ref="A1:E46"/>
  <sheetViews>
    <sheetView workbookViewId="0">
      <selection sqref="A1:C46"/>
    </sheetView>
  </sheetViews>
  <sheetFormatPr defaultRowHeight="14.4" x14ac:dyDescent="0.3"/>
  <cols>
    <col min="1" max="1" width="31.5546875" bestFit="1" customWidth="1"/>
    <col min="2" max="2" width="14" bestFit="1" customWidth="1"/>
  </cols>
  <sheetData>
    <row r="1" spans="1:5" x14ac:dyDescent="0.3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1</v>
      </c>
      <c r="B2" t="s">
        <v>2</v>
      </c>
      <c r="C2">
        <v>23681.116160000001</v>
      </c>
      <c r="D2">
        <f>C2/C$2*100</f>
        <v>100</v>
      </c>
      <c r="E2">
        <f>D2-100</f>
        <v>0</v>
      </c>
    </row>
    <row r="3" spans="1:5" x14ac:dyDescent="0.3">
      <c r="A3" t="s">
        <v>1</v>
      </c>
      <c r="B3" t="s">
        <v>3</v>
      </c>
      <c r="C3">
        <v>23260.051456000001</v>
      </c>
      <c r="D3">
        <f>C3/C$2*100</f>
        <v>98.221938944283266</v>
      </c>
      <c r="E3">
        <f>D3-100</f>
        <v>-1.7780610557167336</v>
      </c>
    </row>
    <row r="4" spans="1:5" x14ac:dyDescent="0.3">
      <c r="A4" t="s">
        <v>1</v>
      </c>
      <c r="B4" t="s">
        <v>4</v>
      </c>
      <c r="C4">
        <v>22739.767296000002</v>
      </c>
      <c r="D4">
        <f>C4/C$2*100</f>
        <v>96.024896556227191</v>
      </c>
      <c r="E4">
        <f>D4-100</f>
        <v>-3.9751034437728094</v>
      </c>
    </row>
    <row r="5" spans="1:5" x14ac:dyDescent="0.3">
      <c r="A5" t="s">
        <v>1</v>
      </c>
      <c r="B5" t="s">
        <v>5</v>
      </c>
      <c r="C5">
        <v>22461.024256000001</v>
      </c>
      <c r="D5">
        <f>C5/C$2*100</f>
        <v>94.847827713201838</v>
      </c>
      <c r="E5">
        <f t="shared" ref="E4:E46" si="0">D5-100</f>
        <v>-5.1521722867981623</v>
      </c>
    </row>
    <row r="6" spans="1:5" x14ac:dyDescent="0.3">
      <c r="A6" t="s">
        <v>1</v>
      </c>
      <c r="B6" t="s">
        <v>6</v>
      </c>
      <c r="C6">
        <v>22357.772288</v>
      </c>
      <c r="D6">
        <f t="shared" ref="D3:D16" si="1">C6/C$2*100</f>
        <v>94.411817994308592</v>
      </c>
      <c r="E6">
        <f t="shared" si="0"/>
        <v>-5.588182005691408</v>
      </c>
    </row>
    <row r="7" spans="1:5" x14ac:dyDescent="0.3">
      <c r="A7" t="s">
        <v>1</v>
      </c>
      <c r="B7" t="s">
        <v>7</v>
      </c>
      <c r="C7">
        <v>14194.1504</v>
      </c>
      <c r="D7">
        <f t="shared" si="1"/>
        <v>59.938688295340889</v>
      </c>
      <c r="E7">
        <f t="shared" si="0"/>
        <v>-40.061311704659111</v>
      </c>
    </row>
    <row r="8" spans="1:5" x14ac:dyDescent="0.3">
      <c r="A8" t="s">
        <v>1</v>
      </c>
      <c r="B8" t="s">
        <v>8</v>
      </c>
      <c r="C8">
        <v>10118.915072</v>
      </c>
      <c r="D8">
        <f t="shared" si="1"/>
        <v>42.729890785688369</v>
      </c>
      <c r="E8">
        <f t="shared" si="0"/>
        <v>-57.270109214311631</v>
      </c>
    </row>
    <row r="9" spans="1:5" x14ac:dyDescent="0.3">
      <c r="A9" t="s">
        <v>1</v>
      </c>
      <c r="B9" t="s">
        <v>9</v>
      </c>
      <c r="C9">
        <v>16315.464704</v>
      </c>
      <c r="D9">
        <f t="shared" si="1"/>
        <v>68.896519039751198</v>
      </c>
      <c r="E9">
        <f t="shared" si="0"/>
        <v>-31.103480960248802</v>
      </c>
    </row>
    <row r="10" spans="1:5" x14ac:dyDescent="0.3">
      <c r="A10" t="s">
        <v>1</v>
      </c>
      <c r="B10" t="s">
        <v>10</v>
      </c>
      <c r="C10">
        <v>16246.902784</v>
      </c>
      <c r="D10">
        <f t="shared" si="1"/>
        <v>68.606997551250544</v>
      </c>
      <c r="E10">
        <f t="shared" si="0"/>
        <v>-31.393002448749456</v>
      </c>
    </row>
    <row r="11" spans="1:5" x14ac:dyDescent="0.3">
      <c r="A11" t="s">
        <v>1</v>
      </c>
      <c r="B11" t="s">
        <v>11</v>
      </c>
      <c r="C11">
        <v>15656.280064</v>
      </c>
      <c r="D11">
        <f t="shared" si="1"/>
        <v>66.112931325615349</v>
      </c>
      <c r="E11">
        <f t="shared" si="0"/>
        <v>-33.887068674384651</v>
      </c>
    </row>
    <row r="12" spans="1:5" x14ac:dyDescent="0.3">
      <c r="A12" t="s">
        <v>1</v>
      </c>
      <c r="B12" t="s">
        <v>12</v>
      </c>
      <c r="C12">
        <v>15717.888000000001</v>
      </c>
      <c r="D12">
        <f t="shared" si="1"/>
        <v>66.373087711757577</v>
      </c>
      <c r="E12">
        <f t="shared" si="0"/>
        <v>-33.626912288242423</v>
      </c>
    </row>
    <row r="13" spans="1:5" x14ac:dyDescent="0.3">
      <c r="A13" t="s">
        <v>1</v>
      </c>
      <c r="B13" t="s">
        <v>13</v>
      </c>
      <c r="C13">
        <v>16058.891264</v>
      </c>
      <c r="D13">
        <f t="shared" si="1"/>
        <v>67.81306740568769</v>
      </c>
      <c r="E13">
        <f t="shared" si="0"/>
        <v>-32.18693259431231</v>
      </c>
    </row>
    <row r="14" spans="1:5" x14ac:dyDescent="0.3">
      <c r="A14" t="s">
        <v>1</v>
      </c>
      <c r="B14" t="s">
        <v>14</v>
      </c>
      <c r="C14">
        <v>15955.916800000001</v>
      </c>
      <c r="D14">
        <f t="shared" si="1"/>
        <v>67.378229523451651</v>
      </c>
      <c r="E14">
        <f t="shared" si="0"/>
        <v>-32.621770476548349</v>
      </c>
    </row>
    <row r="15" spans="1:5" x14ac:dyDescent="0.3">
      <c r="A15" t="s">
        <v>1</v>
      </c>
      <c r="B15" t="s">
        <v>15</v>
      </c>
      <c r="C15">
        <v>15407.3344</v>
      </c>
      <c r="D15">
        <f t="shared" si="1"/>
        <v>65.061690065203408</v>
      </c>
      <c r="E15">
        <f t="shared" si="0"/>
        <v>-34.938309934796592</v>
      </c>
    </row>
    <row r="16" spans="1:5" x14ac:dyDescent="0.3">
      <c r="A16" t="s">
        <v>1</v>
      </c>
      <c r="B16" t="s">
        <v>16</v>
      </c>
      <c r="C16">
        <v>15447.897088</v>
      </c>
      <c r="D16">
        <f t="shared" si="1"/>
        <v>65.232977126699751</v>
      </c>
      <c r="E16">
        <f t="shared" si="0"/>
        <v>-34.767022873300249</v>
      </c>
    </row>
    <row r="17" spans="1:5" x14ac:dyDescent="0.3">
      <c r="A17" t="s">
        <v>17</v>
      </c>
      <c r="B17" t="s">
        <v>2</v>
      </c>
      <c r="C17">
        <v>580.00998400000003</v>
      </c>
      <c r="D17">
        <f>C17/C$17*100</f>
        <v>100</v>
      </c>
      <c r="E17">
        <f t="shared" si="0"/>
        <v>0</v>
      </c>
    </row>
    <row r="18" spans="1:5" x14ac:dyDescent="0.3">
      <c r="A18" t="s">
        <v>17</v>
      </c>
      <c r="B18" t="s">
        <v>3</v>
      </c>
      <c r="C18">
        <v>558.68563200000006</v>
      </c>
      <c r="D18">
        <f t="shared" ref="D18:D46" si="2">C18/C$17*100</f>
        <v>96.323450873562905</v>
      </c>
      <c r="E18">
        <f t="shared" si="0"/>
        <v>-3.6765491264370951</v>
      </c>
    </row>
    <row r="19" spans="1:5" x14ac:dyDescent="0.3">
      <c r="A19" t="s">
        <v>17</v>
      </c>
      <c r="B19" t="s">
        <v>4</v>
      </c>
      <c r="C19">
        <v>516.26345600000002</v>
      </c>
      <c r="D19">
        <f t="shared" si="2"/>
        <v>89.009408500112983</v>
      </c>
      <c r="E19">
        <f t="shared" si="0"/>
        <v>-10.990591499887017</v>
      </c>
    </row>
    <row r="20" spans="1:5" x14ac:dyDescent="0.3">
      <c r="A20" t="s">
        <v>17</v>
      </c>
      <c r="B20" t="s">
        <v>5</v>
      </c>
      <c r="C20">
        <v>516.26345600000002</v>
      </c>
      <c r="D20">
        <f t="shared" si="2"/>
        <v>89.009408500112983</v>
      </c>
      <c r="E20">
        <f t="shared" si="0"/>
        <v>-10.990591499887017</v>
      </c>
    </row>
    <row r="21" spans="1:5" x14ac:dyDescent="0.3">
      <c r="A21" t="s">
        <v>17</v>
      </c>
      <c r="B21" t="s">
        <v>6</v>
      </c>
      <c r="C21">
        <v>516.26345600000002</v>
      </c>
      <c r="D21">
        <f t="shared" si="2"/>
        <v>89.009408500112983</v>
      </c>
      <c r="E21">
        <f t="shared" si="0"/>
        <v>-10.990591499887017</v>
      </c>
    </row>
    <row r="22" spans="1:5" x14ac:dyDescent="0.3">
      <c r="A22" t="s">
        <v>17</v>
      </c>
      <c r="B22" t="s">
        <v>7</v>
      </c>
      <c r="C22">
        <v>72.025887999999995</v>
      </c>
      <c r="D22">
        <f t="shared" si="2"/>
        <v>12.418042790104797</v>
      </c>
      <c r="E22">
        <f t="shared" si="0"/>
        <v>-87.581957209895208</v>
      </c>
    </row>
    <row r="23" spans="1:5" x14ac:dyDescent="0.3">
      <c r="A23" t="s">
        <v>17</v>
      </c>
      <c r="B23" t="s">
        <v>8</v>
      </c>
      <c r="C23">
        <v>149.90713600000001</v>
      </c>
      <c r="D23">
        <f t="shared" si="2"/>
        <v>25.845613029999154</v>
      </c>
      <c r="E23">
        <f t="shared" si="0"/>
        <v>-74.154386970000843</v>
      </c>
    </row>
    <row r="24" spans="1:5" x14ac:dyDescent="0.3">
      <c r="A24" t="s">
        <v>17</v>
      </c>
      <c r="B24" t="s">
        <v>9</v>
      </c>
      <c r="C24">
        <v>335.61200000000002</v>
      </c>
      <c r="D24">
        <f t="shared" si="2"/>
        <v>57.863141886881728</v>
      </c>
      <c r="E24">
        <f t="shared" si="0"/>
        <v>-42.136858113118272</v>
      </c>
    </row>
    <row r="25" spans="1:5" x14ac:dyDescent="0.3">
      <c r="A25" t="s">
        <v>17</v>
      </c>
      <c r="B25" t="s">
        <v>10</v>
      </c>
      <c r="C25">
        <v>325.14502399999998</v>
      </c>
      <c r="D25">
        <f t="shared" si="2"/>
        <v>56.058521916753755</v>
      </c>
      <c r="E25">
        <f t="shared" si="0"/>
        <v>-43.941478083246245</v>
      </c>
    </row>
    <row r="26" spans="1:5" x14ac:dyDescent="0.3">
      <c r="A26" t="s">
        <v>17</v>
      </c>
      <c r="B26" t="s">
        <v>11</v>
      </c>
      <c r="C26">
        <v>239.427888</v>
      </c>
      <c r="D26">
        <f t="shared" si="2"/>
        <v>41.279959760140954</v>
      </c>
      <c r="E26">
        <f t="shared" si="0"/>
        <v>-58.720040239859046</v>
      </c>
    </row>
    <row r="27" spans="1:5" x14ac:dyDescent="0.3">
      <c r="A27" t="s">
        <v>17</v>
      </c>
      <c r="B27" t="s">
        <v>12</v>
      </c>
      <c r="C27">
        <v>325.14240000000001</v>
      </c>
      <c r="D27">
        <f t="shared" si="2"/>
        <v>56.05806951074829</v>
      </c>
      <c r="E27">
        <f t="shared" si="0"/>
        <v>-43.94193048925171</v>
      </c>
    </row>
    <row r="28" spans="1:5" x14ac:dyDescent="0.3">
      <c r="A28" t="s">
        <v>17</v>
      </c>
      <c r="B28" t="s">
        <v>13</v>
      </c>
      <c r="C28">
        <v>335.50006400000001</v>
      </c>
      <c r="D28">
        <f t="shared" si="2"/>
        <v>57.843842908745515</v>
      </c>
      <c r="E28">
        <f t="shared" si="0"/>
        <v>-42.156157091254485</v>
      </c>
    </row>
    <row r="29" spans="1:5" x14ac:dyDescent="0.3">
      <c r="A29" t="s">
        <v>17</v>
      </c>
      <c r="B29" t="s">
        <v>14</v>
      </c>
      <c r="C29">
        <v>325.03308800000002</v>
      </c>
      <c r="D29">
        <f t="shared" si="2"/>
        <v>56.039222938617549</v>
      </c>
      <c r="E29">
        <f t="shared" si="0"/>
        <v>-43.960777061382451</v>
      </c>
    </row>
    <row r="30" spans="1:5" x14ac:dyDescent="0.3">
      <c r="A30" t="s">
        <v>17</v>
      </c>
      <c r="B30" t="s">
        <v>15</v>
      </c>
      <c r="C30">
        <v>239.31595200000001</v>
      </c>
      <c r="D30">
        <f t="shared" si="2"/>
        <v>41.260660782004742</v>
      </c>
      <c r="E30">
        <f t="shared" si="0"/>
        <v>-58.739339217995258</v>
      </c>
    </row>
    <row r="31" spans="1:5" x14ac:dyDescent="0.3">
      <c r="A31" t="s">
        <v>17</v>
      </c>
      <c r="B31" t="s">
        <v>16</v>
      </c>
      <c r="C31">
        <v>325.03046399999999</v>
      </c>
      <c r="D31">
        <f t="shared" si="2"/>
        <v>56.03877053261207</v>
      </c>
      <c r="E31">
        <f t="shared" si="0"/>
        <v>-43.96122946738793</v>
      </c>
    </row>
    <row r="32" spans="1:5" x14ac:dyDescent="0.3">
      <c r="A32" t="s">
        <v>18</v>
      </c>
      <c r="B32" t="s">
        <v>2</v>
      </c>
      <c r="C32">
        <v>109066.379264</v>
      </c>
      <c r="D32">
        <f>C32/C$32*100</f>
        <v>100</v>
      </c>
      <c r="E32">
        <f t="shared" si="0"/>
        <v>0</v>
      </c>
    </row>
    <row r="33" spans="1:5" x14ac:dyDescent="0.3">
      <c r="A33" t="s">
        <v>18</v>
      </c>
      <c r="B33" t="s">
        <v>3</v>
      </c>
      <c r="C33">
        <v>105727.787008</v>
      </c>
      <c r="D33">
        <f t="shared" ref="D33:D46" si="3">C33/C$32*100</f>
        <v>96.938935464320494</v>
      </c>
      <c r="E33">
        <f t="shared" si="0"/>
        <v>-3.0610645356795061</v>
      </c>
    </row>
    <row r="34" spans="1:5" x14ac:dyDescent="0.3">
      <c r="A34" t="s">
        <v>18</v>
      </c>
      <c r="B34" t="s">
        <v>4</v>
      </c>
      <c r="C34">
        <v>104043.053056</v>
      </c>
      <c r="D34">
        <f t="shared" si="3"/>
        <v>95.394248675074451</v>
      </c>
      <c r="E34">
        <f t="shared" si="0"/>
        <v>-4.6057513249255493</v>
      </c>
    </row>
    <row r="35" spans="1:5" x14ac:dyDescent="0.3">
      <c r="A35" t="s">
        <v>18</v>
      </c>
      <c r="B35" t="s">
        <v>5</v>
      </c>
      <c r="C35">
        <v>103318.380544</v>
      </c>
      <c r="D35">
        <f t="shared" si="3"/>
        <v>94.729816136935554</v>
      </c>
      <c r="E35">
        <f t="shared" si="0"/>
        <v>-5.270183863064446</v>
      </c>
    </row>
    <row r="36" spans="1:5" x14ac:dyDescent="0.3">
      <c r="A36" t="s">
        <v>18</v>
      </c>
      <c r="B36" t="s">
        <v>6</v>
      </c>
      <c r="C36">
        <v>102851.40377600001</v>
      </c>
      <c r="D36">
        <f t="shared" si="3"/>
        <v>94.301657825317207</v>
      </c>
      <c r="E36">
        <f t="shared" si="0"/>
        <v>-5.6983421746827929</v>
      </c>
    </row>
    <row r="37" spans="1:5" x14ac:dyDescent="0.3">
      <c r="A37" t="s">
        <v>18</v>
      </c>
      <c r="B37" t="s">
        <v>7</v>
      </c>
      <c r="C37">
        <v>50723.774464000002</v>
      </c>
      <c r="D37">
        <f t="shared" si="3"/>
        <v>46.507250727761722</v>
      </c>
      <c r="E37">
        <f t="shared" si="0"/>
        <v>-53.492749272238278</v>
      </c>
    </row>
    <row r="38" spans="1:5" x14ac:dyDescent="0.3">
      <c r="A38" t="s">
        <v>18</v>
      </c>
      <c r="B38" t="s">
        <v>8</v>
      </c>
      <c r="C38">
        <v>30393.843712000002</v>
      </c>
      <c r="D38">
        <f t="shared" si="3"/>
        <v>27.867289550733464</v>
      </c>
      <c r="E38">
        <f t="shared" si="0"/>
        <v>-72.13271044926654</v>
      </c>
    </row>
    <row r="39" spans="1:5" x14ac:dyDescent="0.3">
      <c r="A39" t="s">
        <v>18</v>
      </c>
      <c r="B39" t="s">
        <v>9</v>
      </c>
      <c r="C39">
        <v>62701.023232</v>
      </c>
      <c r="D39">
        <f t="shared" si="3"/>
        <v>57.488864721757558</v>
      </c>
      <c r="E39">
        <f t="shared" si="0"/>
        <v>-42.511135278242442</v>
      </c>
    </row>
    <row r="40" spans="1:5" x14ac:dyDescent="0.3">
      <c r="A40" t="s">
        <v>18</v>
      </c>
      <c r="B40" t="s">
        <v>10</v>
      </c>
      <c r="C40">
        <v>63499.505663999997</v>
      </c>
      <c r="D40">
        <f t="shared" si="3"/>
        <v>58.220971570255053</v>
      </c>
      <c r="E40">
        <f t="shared" si="0"/>
        <v>-41.779028429744947</v>
      </c>
    </row>
    <row r="41" spans="1:5" x14ac:dyDescent="0.3">
      <c r="A41" t="s">
        <v>18</v>
      </c>
      <c r="B41" t="s">
        <v>11</v>
      </c>
      <c r="C41">
        <v>59897.528319999998</v>
      </c>
      <c r="D41">
        <f t="shared" si="3"/>
        <v>54.918416403111145</v>
      </c>
      <c r="E41">
        <f t="shared" si="0"/>
        <v>-45.081583596888855</v>
      </c>
    </row>
    <row r="42" spans="1:5" x14ac:dyDescent="0.3">
      <c r="A42" t="s">
        <v>18</v>
      </c>
      <c r="B42" t="s">
        <v>12</v>
      </c>
      <c r="C42">
        <v>59688.665088000002</v>
      </c>
      <c r="D42">
        <f t="shared" si="3"/>
        <v>54.726915380147481</v>
      </c>
      <c r="E42">
        <f t="shared" si="0"/>
        <v>-45.273084619852519</v>
      </c>
    </row>
    <row r="43" spans="1:5" x14ac:dyDescent="0.3">
      <c r="A43" t="s">
        <v>18</v>
      </c>
      <c r="B43" t="s">
        <v>13</v>
      </c>
      <c r="C43">
        <v>61337.894912000003</v>
      </c>
      <c r="D43">
        <f t="shared" si="3"/>
        <v>56.239049399016828</v>
      </c>
      <c r="E43">
        <f t="shared" si="0"/>
        <v>-43.760950600983172</v>
      </c>
    </row>
    <row r="44" spans="1:5" x14ac:dyDescent="0.3">
      <c r="A44" t="s">
        <v>18</v>
      </c>
      <c r="B44" t="s">
        <v>14</v>
      </c>
      <c r="C44">
        <v>61917.220864000003</v>
      </c>
      <c r="D44">
        <f t="shared" si="3"/>
        <v>56.77021762510941</v>
      </c>
      <c r="E44">
        <f t="shared" si="0"/>
        <v>-43.22978237489059</v>
      </c>
    </row>
    <row r="45" spans="1:5" x14ac:dyDescent="0.3">
      <c r="A45" t="s">
        <v>18</v>
      </c>
      <c r="B45" t="s">
        <v>15</v>
      </c>
      <c r="C45">
        <v>58293.895168000003</v>
      </c>
      <c r="D45">
        <f t="shared" si="3"/>
        <v>53.448088734014952</v>
      </c>
      <c r="E45">
        <f t="shared" si="0"/>
        <v>-46.551911265985048</v>
      </c>
    </row>
    <row r="46" spans="1:5" x14ac:dyDescent="0.3">
      <c r="A46" t="s">
        <v>18</v>
      </c>
      <c r="B46" t="s">
        <v>16</v>
      </c>
      <c r="C46">
        <v>58127.200255999996</v>
      </c>
      <c r="D46">
        <f t="shared" si="3"/>
        <v>53.295250698018073</v>
      </c>
      <c r="E46">
        <f t="shared" si="0"/>
        <v>-46.704749301981927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8FD6-7633-4054-BD16-00E77AE129A2}">
  <dimension ref="A1:D16"/>
  <sheetViews>
    <sheetView tabSelected="1" workbookViewId="0">
      <selection activeCell="F13" sqref="F13"/>
    </sheetView>
  </sheetViews>
  <sheetFormatPr defaultRowHeight="14.4" x14ac:dyDescent="0.3"/>
  <cols>
    <col min="1" max="1" width="14" bestFit="1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23</v>
      </c>
    </row>
    <row r="2" spans="1:4" x14ac:dyDescent="0.3">
      <c r="A2" s="1" t="s">
        <v>13</v>
      </c>
      <c r="B2" s="2">
        <v>77732.286240000001</v>
      </c>
      <c r="C2">
        <f>B2/133327.505408*100</f>
        <v>58.301763017412512</v>
      </c>
      <c r="D2">
        <f>C2-100</f>
        <v>-41.698236982587488</v>
      </c>
    </row>
    <row r="3" spans="1:4" x14ac:dyDescent="0.3">
      <c r="A3" s="1" t="s">
        <v>14</v>
      </c>
      <c r="B3" s="2">
        <v>78198.170752000005</v>
      </c>
      <c r="C3">
        <f t="shared" ref="C3:C16" si="0">B3/133327.505408*100</f>
        <v>58.651191674743444</v>
      </c>
      <c r="D3">
        <f t="shared" ref="D3:D16" si="1">C3-100</f>
        <v>-41.348808325256556</v>
      </c>
    </row>
    <row r="4" spans="1:4" x14ac:dyDescent="0.3">
      <c r="A4" s="1" t="s">
        <v>15</v>
      </c>
      <c r="B4" s="2">
        <v>73940.54552</v>
      </c>
      <c r="C4">
        <f t="shared" si="0"/>
        <v>55.457833170831513</v>
      </c>
      <c r="D4">
        <f t="shared" si="1"/>
        <v>-44.542166829168487</v>
      </c>
    </row>
    <row r="5" spans="1:4" x14ac:dyDescent="0.3">
      <c r="A5" s="1" t="s">
        <v>16</v>
      </c>
      <c r="B5" s="2">
        <v>73900.12780799999</v>
      </c>
      <c r="C5">
        <f t="shared" si="0"/>
        <v>55.427518561796916</v>
      </c>
      <c r="D5">
        <f t="shared" si="1"/>
        <v>-44.572481438203084</v>
      </c>
    </row>
    <row r="6" spans="1:4" x14ac:dyDescent="0.3">
      <c r="A6" s="1" t="s">
        <v>2</v>
      </c>
      <c r="B6" s="2">
        <v>133327.505408</v>
      </c>
      <c r="C6">
        <f t="shared" si="0"/>
        <v>100</v>
      </c>
      <c r="D6">
        <f t="shared" si="1"/>
        <v>0</v>
      </c>
    </row>
    <row r="7" spans="1:4" x14ac:dyDescent="0.3">
      <c r="A7" s="1" t="s">
        <v>3</v>
      </c>
      <c r="B7" s="2">
        <v>129546.52409600001</v>
      </c>
      <c r="C7">
        <f t="shared" si="0"/>
        <v>97.16414006215021</v>
      </c>
      <c r="D7">
        <f t="shared" si="1"/>
        <v>-2.83585993784979</v>
      </c>
    </row>
    <row r="8" spans="1:4" x14ac:dyDescent="0.3">
      <c r="A8" s="1" t="s">
        <v>4</v>
      </c>
      <c r="B8" s="2">
        <v>127299.08380800001</v>
      </c>
      <c r="C8">
        <f t="shared" si="0"/>
        <v>95.47848616716243</v>
      </c>
      <c r="D8">
        <f t="shared" si="1"/>
        <v>-4.5215138328375701</v>
      </c>
    </row>
    <row r="9" spans="1:4" x14ac:dyDescent="0.3">
      <c r="A9" s="1" t="s">
        <v>5</v>
      </c>
      <c r="B9" s="2">
        <v>126295.668256</v>
      </c>
      <c r="C9">
        <f t="shared" si="0"/>
        <v>94.725891607675678</v>
      </c>
      <c r="D9">
        <f t="shared" si="1"/>
        <v>-5.2741083923243224</v>
      </c>
    </row>
    <row r="10" spans="1:4" x14ac:dyDescent="0.3">
      <c r="A10" s="1" t="s">
        <v>6</v>
      </c>
      <c r="B10" s="2">
        <v>125725.43952000001</v>
      </c>
      <c r="C10">
        <f t="shared" si="0"/>
        <v>94.298201361574527</v>
      </c>
      <c r="D10">
        <f t="shared" si="1"/>
        <v>-5.7017986384254726</v>
      </c>
    </row>
    <row r="11" spans="1:4" x14ac:dyDescent="0.3">
      <c r="A11" s="1" t="s">
        <v>9</v>
      </c>
      <c r="B11" s="2">
        <v>79352.099935999999</v>
      </c>
      <c r="C11">
        <f t="shared" si="0"/>
        <v>59.516676392595777</v>
      </c>
      <c r="D11">
        <f t="shared" si="1"/>
        <v>-40.483323607404223</v>
      </c>
    </row>
    <row r="12" spans="1:4" x14ac:dyDescent="0.3">
      <c r="A12" s="1" t="s">
        <v>10</v>
      </c>
      <c r="B12" s="2">
        <v>80071.553472</v>
      </c>
      <c r="C12">
        <f t="shared" si="0"/>
        <v>60.056290130810098</v>
      </c>
      <c r="D12">
        <f t="shared" si="1"/>
        <v>-39.943709869189902</v>
      </c>
    </row>
    <row r="13" spans="1:4" x14ac:dyDescent="0.3">
      <c r="A13" s="1" t="s">
        <v>11</v>
      </c>
      <c r="B13" s="2">
        <v>75793.236271999995</v>
      </c>
      <c r="C13">
        <f t="shared" si="0"/>
        <v>56.847411972542773</v>
      </c>
      <c r="D13">
        <f t="shared" si="1"/>
        <v>-43.152588027457227</v>
      </c>
    </row>
    <row r="14" spans="1:4" x14ac:dyDescent="0.3">
      <c r="A14" s="1" t="s">
        <v>12</v>
      </c>
      <c r="B14" s="2">
        <v>75731.695487999998</v>
      </c>
      <c r="C14">
        <f t="shared" si="0"/>
        <v>56.801254367019681</v>
      </c>
      <c r="D14">
        <f t="shared" si="1"/>
        <v>-43.198745632980319</v>
      </c>
    </row>
    <row r="15" spans="1:4" x14ac:dyDescent="0.3">
      <c r="A15" s="1" t="s">
        <v>7</v>
      </c>
      <c r="B15" s="2">
        <v>64989.950752000004</v>
      </c>
      <c r="C15">
        <f t="shared" si="0"/>
        <v>48.744593662892036</v>
      </c>
      <c r="D15">
        <f t="shared" si="1"/>
        <v>-51.255406337107964</v>
      </c>
    </row>
    <row r="16" spans="1:4" x14ac:dyDescent="0.3">
      <c r="A16" s="1" t="s">
        <v>8</v>
      </c>
      <c r="B16" s="2">
        <v>40662.665919999999</v>
      </c>
      <c r="C16">
        <f t="shared" si="0"/>
        <v>30.498332505034732</v>
      </c>
      <c r="D16">
        <f t="shared" si="1"/>
        <v>-69.501667494965261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area_ecoregiao</vt:lpstr>
      <vt:lpstr>Area_cenario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Thieres Santos Almeida</dc:creator>
  <cp:lastModifiedBy>Thieres Santos Almeida</cp:lastModifiedBy>
  <dcterms:created xsi:type="dcterms:W3CDTF">2026-07-18T21:46:57Z</dcterms:created>
  <dcterms:modified xsi:type="dcterms:W3CDTF">2026-07-18T21:56:30Z</dcterms:modified>
</cp:coreProperties>
</file>